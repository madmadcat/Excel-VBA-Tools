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iCloud\work\DOCs\excel自动化工具\"/>
    </mc:Choice>
  </mc:AlternateContent>
  <xr:revisionPtr revIDLastSave="0" documentId="13_ncr:1_{D9DB5411-79BA-4098-91E1-6FB966A4BC4B}" xr6:coauthVersionLast="47" xr6:coauthVersionMax="47" xr10:uidLastSave="{00000000-0000-0000-0000-000000000000}"/>
  <bookViews>
    <workbookView xWindow="-98" yWindow="-98" windowWidth="25396" windowHeight="15346" activeTab="1" xr2:uid="{2E9D9B9C-DA55-41B2-B3CC-F96166A05EF5}"/>
  </bookViews>
  <sheets>
    <sheet name="普工" sheetId="3" r:id="rId1"/>
    <sheet name="月薪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10" i="1" l="1"/>
  <c r="P10" i="1"/>
  <c r="R10" i="1" s="1"/>
  <c r="Z9" i="1"/>
  <c r="H9" i="1"/>
  <c r="P9" i="1" s="1"/>
  <c r="R9" i="1" s="1"/>
  <c r="Z8" i="1"/>
  <c r="H8" i="1"/>
  <c r="P8" i="1" s="1"/>
  <c r="R8" i="1" s="1"/>
  <c r="AA8" i="1" l="1"/>
  <c r="AA10" i="1"/>
  <c r="AA9" i="1"/>
  <c r="AA7" i="3"/>
  <c r="AB7" i="3" s="1"/>
  <c r="Q7" i="3"/>
  <c r="P7" i="3"/>
  <c r="O7" i="3"/>
  <c r="M7" i="3"/>
  <c r="K7" i="3"/>
  <c r="N7" i="3" l="1"/>
  <c r="AA6" i="3"/>
  <c r="AB6" i="3" s="1"/>
  <c r="Q6" i="3"/>
  <c r="P6" i="3"/>
  <c r="O6" i="3"/>
  <c r="M6" i="3"/>
  <c r="K6" i="3"/>
  <c r="AA5" i="3"/>
  <c r="AB5" i="3" s="1"/>
  <c r="Q5" i="3"/>
  <c r="P5" i="3"/>
  <c r="O5" i="3"/>
  <c r="M5" i="3"/>
  <c r="K5" i="3"/>
  <c r="N5" i="3" l="1"/>
  <c r="N6" i="3"/>
  <c r="Z7" i="1" l="1"/>
  <c r="P7" i="1"/>
  <c r="R7" i="1" s="1"/>
  <c r="Z6" i="1"/>
  <c r="H6" i="1"/>
  <c r="P6" i="1" s="1"/>
  <c r="R6" i="1" s="1"/>
  <c r="Z5" i="1"/>
  <c r="H5" i="1"/>
  <c r="P5" i="1" s="1"/>
  <c r="R5" i="1" s="1"/>
  <c r="AA6" i="1" l="1"/>
  <c r="AA5" i="1"/>
  <c r="AA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Windows 用户</author>
  </authors>
  <commentList>
    <comment ref="K4" authorId="0" shapeId="0" xr:uid="{EEDC154F-81AA-4F2A-A918-23D2BC6DB901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基本工资</t>
        </r>
        <r>
          <rPr>
            <sz val="9"/>
            <rFont val="Tahoma"/>
            <family val="2"/>
          </rPr>
          <t>/</t>
        </r>
        <r>
          <rPr>
            <sz val="9"/>
            <rFont val="宋体"/>
            <family val="3"/>
            <charset val="134"/>
          </rPr>
          <t>应出勤天数</t>
        </r>
        <r>
          <rPr>
            <sz val="9"/>
            <rFont val="Tahoma"/>
            <family val="2"/>
          </rPr>
          <t>/8*</t>
        </r>
        <r>
          <rPr>
            <sz val="9"/>
            <rFont val="宋体"/>
            <family val="3"/>
            <charset val="134"/>
          </rPr>
          <t>平时加班数</t>
        </r>
        <r>
          <rPr>
            <sz val="9"/>
            <rFont val="Tahoma"/>
            <family val="2"/>
          </rPr>
          <t>*1.5</t>
        </r>
      </text>
    </comment>
    <comment ref="M4" authorId="0" shapeId="0" xr:uid="{26426D27-AC15-49E3-ACE3-D6938BB0CC67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基本工资</t>
        </r>
        <r>
          <rPr>
            <sz val="9"/>
            <rFont val="Tahoma"/>
            <family val="2"/>
          </rPr>
          <t>/</t>
        </r>
        <r>
          <rPr>
            <sz val="9"/>
            <rFont val="宋体"/>
            <family val="3"/>
            <charset val="134"/>
          </rPr>
          <t>应出勤天数</t>
        </r>
        <r>
          <rPr>
            <sz val="9"/>
            <rFont val="Tahoma"/>
            <family val="2"/>
          </rPr>
          <t>/8*</t>
        </r>
        <r>
          <rPr>
            <sz val="9"/>
            <rFont val="宋体"/>
            <family val="3"/>
            <charset val="134"/>
          </rPr>
          <t>周末加班数</t>
        </r>
        <r>
          <rPr>
            <sz val="9"/>
            <rFont val="Tahoma"/>
            <family val="2"/>
          </rPr>
          <t>*1.5</t>
        </r>
      </text>
    </comment>
    <comment ref="O4" authorId="0" shapeId="0" xr:uid="{4FF69D16-597F-45E8-A379-B7A7546F2091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300/</t>
        </r>
        <r>
          <rPr>
            <sz val="9"/>
            <rFont val="宋体"/>
            <family val="3"/>
            <charset val="134"/>
          </rPr>
          <t xml:space="preserve">应出勤天数*实出勤天数
</t>
        </r>
      </text>
    </comment>
    <comment ref="Q4" authorId="0" shapeId="0" xr:uid="{48BEA189-E1A1-4BB7-B789-9D9FFB3769E8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Tahoma"/>
            <family val="2"/>
          </rPr>
          <t>=</t>
        </r>
        <r>
          <rPr>
            <sz val="9"/>
            <rFont val="宋体"/>
            <family val="3"/>
            <charset val="134"/>
          </rPr>
          <t>（基本工资</t>
        </r>
        <r>
          <rPr>
            <sz val="9"/>
            <rFont val="Tahoma"/>
            <family val="2"/>
          </rPr>
          <t>+</t>
        </r>
        <r>
          <rPr>
            <sz val="9"/>
            <rFont val="宋体"/>
            <family val="3"/>
            <charset val="134"/>
          </rPr>
          <t>保底工资）</t>
        </r>
        <r>
          <rPr>
            <sz val="9"/>
            <rFont val="Tahoma"/>
            <family val="2"/>
          </rPr>
          <t>/</t>
        </r>
        <r>
          <rPr>
            <sz val="9"/>
            <rFont val="宋体"/>
            <family val="3"/>
            <charset val="134"/>
          </rPr>
          <t>应出勤天数</t>
        </r>
        <r>
          <rPr>
            <sz val="9"/>
            <rFont val="Tahoma"/>
            <family val="2"/>
          </rPr>
          <t>*</t>
        </r>
        <r>
          <rPr>
            <sz val="9"/>
            <rFont val="宋体"/>
            <family val="3"/>
            <charset val="134"/>
          </rPr>
          <t>未出勤天数</t>
        </r>
      </text>
    </comment>
    <comment ref="E5" authorId="1" shapeId="0" xr:uid="{9B829D03-AC81-4B8A-8AAB-B754E836DEA5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初级员工薪酬</t>
        </r>
      </text>
    </comment>
    <comment ref="N5" authorId="1" shapeId="0" xr:uid="{5B8D0025-5B1C-48D2-BEF2-EF487685EE2D}">
      <text>
        <r>
          <rPr>
            <b/>
            <sz val="9"/>
            <rFont val="宋体"/>
            <family val="3"/>
            <charset val="134"/>
          </rPr>
          <t>Windows 用户:
补保底差额</t>
        </r>
      </text>
    </comment>
    <comment ref="P5" authorId="1" shapeId="0" xr:uid="{AB165B3C-E6EB-4B34-9A75-AC552CDF5AA0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焊锡补贴+全勤奖+津贴+介绍人奖金</t>
        </r>
      </text>
    </comment>
    <comment ref="E6" authorId="1" shapeId="0" xr:uid="{EA7ED5D9-E5AB-4626-B203-86B22256FD5E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二级员工薪酬</t>
        </r>
      </text>
    </comment>
    <comment ref="N6" authorId="1" shapeId="0" xr:uid="{3C13B0EA-6392-4A4E-B798-90E0B96DE504}">
      <text>
        <r>
          <rPr>
            <b/>
            <sz val="9"/>
            <rFont val="宋体"/>
            <family val="3"/>
            <charset val="134"/>
          </rPr>
          <t>Windows 用户:
补保底差额</t>
        </r>
      </text>
    </comment>
    <comment ref="P6" authorId="1" shapeId="0" xr:uid="{B6B694E0-8B5F-4604-B96A-C5A95E9A4372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焊锡补贴+全勤奖+津贴</t>
        </r>
      </text>
    </comment>
    <comment ref="E7" authorId="1" shapeId="0" xr:uid="{4A7E9EAE-BE2F-47EB-A987-8A8D13F4BE27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初级员工薪酬</t>
        </r>
      </text>
    </comment>
    <comment ref="N7" authorId="1" shapeId="0" xr:uid="{D33091A5-D8D7-4838-8AA1-64D05F878C7B}">
      <text>
        <r>
          <rPr>
            <b/>
            <sz val="9"/>
            <rFont val="宋体"/>
            <family val="3"/>
            <charset val="134"/>
          </rPr>
          <t>Windows 用户:
补保底差额</t>
        </r>
      </text>
    </comment>
    <comment ref="P7" authorId="1" shapeId="0" xr:uid="{4822AC53-39DD-43FB-A432-E1798EE154C5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焊锡补贴+全勤奖+津贴+介绍人奖金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Administrator</author>
  </authors>
  <commentList>
    <comment ref="N4" authorId="0" shapeId="0" xr:uid="{682EAF35-8318-4695-9AA5-F646FF1044B8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吴鑫、戴喜、邓诃和周晓辉的奖金为降薪补贴奖金；其他人的奖金为春节假期间（2.1-2.7）上班奖励；</t>
        </r>
      </text>
    </comment>
    <comment ref="P4" authorId="1" shapeId="0" xr:uid="{62BBBDD5-5670-47FF-8426-156B3153FED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=</t>
        </r>
        <r>
          <rPr>
            <sz val="9"/>
            <rFont val="宋体"/>
            <family val="3"/>
            <charset val="134"/>
          </rPr>
          <t>（基本工资</t>
        </r>
        <r>
          <rPr>
            <sz val="9"/>
            <rFont val="Tahoma"/>
            <family val="2"/>
          </rPr>
          <t>+</t>
        </r>
        <r>
          <rPr>
            <sz val="9"/>
            <rFont val="宋体"/>
            <family val="3"/>
            <charset val="134"/>
          </rPr>
          <t>绩效工资）</t>
        </r>
        <r>
          <rPr>
            <sz val="9"/>
            <rFont val="Tahoma"/>
            <family val="2"/>
          </rPr>
          <t>/</t>
        </r>
        <r>
          <rPr>
            <sz val="9"/>
            <rFont val="宋体"/>
            <family val="3"/>
            <charset val="134"/>
          </rPr>
          <t>应出勤天数</t>
        </r>
        <r>
          <rPr>
            <sz val="9"/>
            <rFont val="Tahoma"/>
            <family val="2"/>
          </rPr>
          <t>*</t>
        </r>
        <r>
          <rPr>
            <sz val="9"/>
            <rFont val="宋体"/>
            <family val="3"/>
            <charset val="134"/>
          </rPr>
          <t>未出勤天数</t>
        </r>
      </text>
    </comment>
    <comment ref="H5" authorId="0" shapeId="0" xr:uid="{1C8FADA7-2A4A-4289-85F6-2F3D5742896E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带薪休假1天+补休1.5天；</t>
        </r>
      </text>
    </comment>
    <comment ref="H6" authorId="0" shapeId="0" xr:uid="{1FBB6CD2-3CE9-4080-ABF3-ACD60051D41F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带薪休假1天+补休2天；</t>
        </r>
      </text>
    </comment>
    <comment ref="O6" authorId="0" shapeId="0" xr:uid="{1A629A8D-C7BA-47AE-B381-8437EE8722A0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焊锡补贴</t>
        </r>
      </text>
    </comment>
    <comment ref="H7" authorId="0" shapeId="0" xr:uid="{5352393B-5A3C-4B58-90A6-7A420DD11289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带薪休假1天；</t>
        </r>
      </text>
    </comment>
    <comment ref="O7" authorId="0" shapeId="0" xr:uid="{D3FD4516-FF7A-4168-8605-5CDD48C59D6A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焊锡补贴</t>
        </r>
      </text>
    </comment>
    <comment ref="H8" authorId="0" shapeId="0" xr:uid="{E89B9EE2-2019-46C8-9210-9F939BF49C2F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带薪休假1天+补休1.5天；</t>
        </r>
      </text>
    </comment>
    <comment ref="H9" authorId="0" shapeId="0" xr:uid="{8F2BC475-7E88-4235-82C7-3A6381F1CAC7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带薪休假1天+补休2天；</t>
        </r>
      </text>
    </comment>
    <comment ref="O9" authorId="0" shapeId="0" xr:uid="{10C2F359-E188-4BBC-8480-088E6696A04C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焊锡补贴</t>
        </r>
      </text>
    </comment>
    <comment ref="H10" authorId="0" shapeId="0" xr:uid="{C0EC33D2-8979-4313-9048-FD97D554C5F3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带薪休假1天；</t>
        </r>
      </text>
    </comment>
    <comment ref="O10" authorId="0" shapeId="0" xr:uid="{DDBF52C6-1430-4AA2-A122-80382F02AFFF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焊锡补贴</t>
        </r>
      </text>
    </comment>
  </commentList>
</comments>
</file>

<file path=xl/sharedStrings.xml><?xml version="1.0" encoding="utf-8"?>
<sst xmlns="http://schemas.openxmlformats.org/spreadsheetml/2006/main" count="79" uniqueCount="46">
  <si>
    <t>基本信息</t>
  </si>
  <si>
    <t>应发工资部分</t>
  </si>
  <si>
    <t>应扣工资部分</t>
  </si>
  <si>
    <t>实发工资</t>
  </si>
  <si>
    <t>部门</t>
  </si>
  <si>
    <t>编号</t>
  </si>
  <si>
    <t>姓 名</t>
  </si>
  <si>
    <t>入厂日</t>
  </si>
  <si>
    <t>基本工资</t>
  </si>
  <si>
    <t>绩效工资</t>
  </si>
  <si>
    <t>应出勤天数</t>
  </si>
  <si>
    <t>实际计薪天数</t>
  </si>
  <si>
    <t>日薪</t>
  </si>
  <si>
    <t>平时加班数</t>
  </si>
  <si>
    <t>平时加班费</t>
  </si>
  <si>
    <t>休息加班数</t>
  </si>
  <si>
    <t>休息加班费</t>
  </si>
  <si>
    <t>奖金</t>
  </si>
  <si>
    <t>津贴</t>
  </si>
  <si>
    <t>缺勤/事假</t>
  </si>
  <si>
    <t>病/产假</t>
  </si>
  <si>
    <t>应发合計</t>
  </si>
  <si>
    <t>免征额</t>
  </si>
  <si>
    <t>违纪</t>
  </si>
  <si>
    <t>其他</t>
  </si>
  <si>
    <t>水电</t>
  </si>
  <si>
    <t>社保</t>
  </si>
  <si>
    <t>公积金</t>
  </si>
  <si>
    <t>个税</t>
  </si>
  <si>
    <t>应扣
合计</t>
  </si>
  <si>
    <t>制造部</t>
  </si>
  <si>
    <r>
      <rPr>
        <sz val="12"/>
        <rFont val="MS Sans Serif"/>
        <family val="2"/>
      </rPr>
      <t>2021</t>
    </r>
    <r>
      <rPr>
        <sz val="12"/>
        <rFont val="宋体"/>
        <family val="3"/>
        <charset val="134"/>
      </rPr>
      <t>年</t>
    </r>
    <r>
      <rPr>
        <sz val="12"/>
        <rFont val="MS Sans Serif"/>
        <family val="2"/>
      </rPr>
      <t>09</t>
    </r>
    <r>
      <rPr>
        <sz val="12"/>
        <rFont val="宋体"/>
        <family val="3"/>
        <charset val="134"/>
      </rPr>
      <t>月份工资表</t>
    </r>
  </si>
  <si>
    <t>周末加班数</t>
  </si>
  <si>
    <t>保底工资</t>
  </si>
  <si>
    <t>餐补</t>
  </si>
  <si>
    <t>津贴/奖金</t>
  </si>
  <si>
    <t>病假</t>
  </si>
  <si>
    <t>梁燕丽</t>
  </si>
  <si>
    <t>者发兴</t>
  </si>
  <si>
    <r>
      <t>2021</t>
    </r>
    <r>
      <rPr>
        <sz val="12"/>
        <rFont val="宋体"/>
        <family val="3"/>
        <charset val="134"/>
      </rPr>
      <t>年</t>
    </r>
    <r>
      <rPr>
        <sz val="12"/>
        <rFont val="MS Sans Serif"/>
        <family val="2"/>
      </rPr>
      <t>09</t>
    </r>
    <r>
      <rPr>
        <sz val="12"/>
        <rFont val="宋体"/>
        <family val="3"/>
        <charset val="134"/>
      </rPr>
      <t>月份普工工资表</t>
    </r>
    <phoneticPr fontId="3" type="noConversion"/>
  </si>
  <si>
    <t>aaa</t>
    <phoneticPr fontId="3" type="noConversion"/>
  </si>
  <si>
    <t>bbb</t>
    <phoneticPr fontId="3" type="noConversion"/>
  </si>
  <si>
    <t>ccc</t>
    <phoneticPr fontId="3" type="noConversion"/>
  </si>
  <si>
    <t>ddd</t>
    <phoneticPr fontId="3" type="noConversion"/>
  </si>
  <si>
    <t>eee</t>
    <phoneticPr fontId="3" type="noConversion"/>
  </si>
  <si>
    <t>kkkk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</si>
</sst>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0;[Red]0.00"/>
    <numFmt numFmtId="177" formatCode="0.0"/>
    <numFmt numFmtId="178" formatCode="0.00_ "/>
  </numFmts>
  <fonts count="22" x14ac:knownFonts="1"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等线"/>
      <family val="2"/>
      <charset val="134"/>
      <scheme val="minor"/>
    </font>
    <font>
      <sz val="10"/>
      <name val="MS Sans Serif"/>
      <family val="2"/>
    </font>
    <font>
      <sz val="10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4"/>
      <name val="等线"/>
      <family val="3"/>
      <charset val="134"/>
      <scheme val="minor"/>
    </font>
    <font>
      <sz val="14"/>
      <name val="宋体"/>
      <family val="3"/>
      <charset val="134"/>
    </font>
    <font>
      <sz val="10"/>
      <name val="Tahoma"/>
      <family val="2"/>
    </font>
    <font>
      <sz val="11"/>
      <name val="Tahoma"/>
      <family val="2"/>
    </font>
    <font>
      <sz val="1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12"/>
      <name val="MS Sans Serif"/>
      <family val="2"/>
    </font>
    <font>
      <sz val="11"/>
      <color rgb="FF000000"/>
      <name val="等线"/>
      <family val="3"/>
      <charset val="134"/>
    </font>
    <font>
      <sz val="12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4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>
      <alignment vertical="center"/>
    </xf>
    <xf numFmtId="0" fontId="1" fillId="0" borderId="0"/>
    <xf numFmtId="43" fontId="1" fillId="0" borderId="0" applyFont="0" applyFill="0" applyBorder="0" applyAlignment="0" applyProtection="0"/>
    <xf numFmtId="0" fontId="6" fillId="0" borderId="0">
      <alignment vertical="center"/>
    </xf>
  </cellStyleXfs>
  <cellXfs count="68">
    <xf numFmtId="0" fontId="0" fillId="0" borderId="0" xfId="0">
      <alignment vertical="center"/>
    </xf>
    <xf numFmtId="0" fontId="4" fillId="0" borderId="4" xfId="1" applyFont="1" applyBorder="1" applyAlignment="1">
      <alignment horizontal="center"/>
    </xf>
    <xf numFmtId="0" fontId="2" fillId="0" borderId="4" xfId="1" applyFont="1" applyBorder="1" applyAlignment="1">
      <alignment horizontal="center" vertical="center"/>
    </xf>
    <xf numFmtId="43" fontId="2" fillId="0" borderId="4" xfId="2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176" fontId="5" fillId="0" borderId="4" xfId="1" applyNumberFormat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 wrapText="1"/>
    </xf>
    <xf numFmtId="0" fontId="7" fillId="0" borderId="4" xfId="3" applyFont="1" applyBorder="1" applyAlignment="1">
      <alignment horizontal="center" vertical="center"/>
    </xf>
    <xf numFmtId="0" fontId="8" fillId="0" borderId="4" xfId="3" applyFont="1" applyBorder="1" applyAlignment="1">
      <alignment horizontal="center" vertical="center"/>
    </xf>
    <xf numFmtId="14" fontId="9" fillId="0" borderId="4" xfId="3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176" fontId="5" fillId="0" borderId="4" xfId="3" applyNumberFormat="1" applyFont="1" applyBorder="1" applyAlignment="1">
      <alignment horizontal="center" vertical="center"/>
    </xf>
    <xf numFmtId="177" fontId="2" fillId="0" borderId="4" xfId="1" applyNumberFormat="1" applyFont="1" applyBorder="1" applyAlignment="1">
      <alignment horizontal="center" vertical="center"/>
    </xf>
    <xf numFmtId="2" fontId="2" fillId="0" borderId="4" xfId="1" applyNumberFormat="1" applyFont="1" applyBorder="1" applyAlignment="1">
      <alignment horizontal="center" vertical="center"/>
    </xf>
    <xf numFmtId="178" fontId="2" fillId="0" borderId="4" xfId="1" applyNumberFormat="1" applyFont="1" applyBorder="1" applyAlignment="1">
      <alignment horizontal="center" vertical="center"/>
    </xf>
    <xf numFmtId="2" fontId="5" fillId="0" borderId="4" xfId="1" applyNumberFormat="1" applyFont="1" applyBorder="1" applyAlignment="1">
      <alignment horizontal="center" vertical="center"/>
    </xf>
    <xf numFmtId="4" fontId="2" fillId="0" borderId="4" xfId="1" applyNumberFormat="1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14" fontId="9" fillId="0" borderId="4" xfId="1" applyNumberFormat="1" applyFont="1" applyBorder="1" applyAlignment="1">
      <alignment horizontal="center" vertical="center"/>
    </xf>
    <xf numFmtId="0" fontId="7" fillId="2" borderId="4" xfId="3" applyFont="1" applyFill="1" applyBorder="1" applyAlignment="1">
      <alignment horizontal="center" vertical="center"/>
    </xf>
    <xf numFmtId="14" fontId="10" fillId="2" borderId="4" xfId="3" applyNumberFormat="1" applyFont="1" applyFill="1" applyBorder="1" applyAlignment="1">
      <alignment horizontal="center" vertical="center"/>
    </xf>
    <xf numFmtId="2" fontId="11" fillId="2" borderId="4" xfId="0" applyNumberFormat="1" applyFont="1" applyFill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18" fillId="2" borderId="0" xfId="0" applyFont="1" applyFill="1">
      <alignment vertical="center"/>
    </xf>
    <xf numFmtId="0" fontId="4" fillId="2" borderId="4" xfId="1" applyFont="1" applyFill="1" applyBorder="1" applyAlignment="1">
      <alignment horizontal="center"/>
    </xf>
    <xf numFmtId="0" fontId="5" fillId="2" borderId="0" xfId="0" applyFont="1" applyFill="1">
      <alignment vertical="center"/>
    </xf>
    <xf numFmtId="0" fontId="2" fillId="2" borderId="4" xfId="1" applyFont="1" applyFill="1" applyBorder="1" applyAlignment="1">
      <alignment horizontal="center" vertical="center"/>
    </xf>
    <xf numFmtId="43" fontId="2" fillId="2" borderId="4" xfId="2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 wrapText="1"/>
    </xf>
    <xf numFmtId="0" fontId="2" fillId="2" borderId="5" xfId="1" applyFont="1" applyFill="1" applyBorder="1" applyAlignment="1">
      <alignment horizontal="center" vertical="center"/>
    </xf>
    <xf numFmtId="176" fontId="5" fillId="2" borderId="4" xfId="1" applyNumberFormat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 wrapText="1"/>
    </xf>
    <xf numFmtId="0" fontId="19" fillId="0" borderId="4" xfId="3" applyFont="1" applyBorder="1" applyAlignment="1">
      <alignment horizontal="center" vertical="center"/>
    </xf>
    <xf numFmtId="0" fontId="19" fillId="2" borderId="4" xfId="1" applyFont="1" applyFill="1" applyBorder="1" applyAlignment="1">
      <alignment horizontal="center" vertical="center"/>
    </xf>
    <xf numFmtId="0" fontId="11" fillId="0" borderId="4" xfId="1" applyFont="1" applyBorder="1" applyAlignment="1">
      <alignment horizontal="center" vertical="center"/>
    </xf>
    <xf numFmtId="2" fontId="11" fillId="2" borderId="4" xfId="1" applyNumberFormat="1" applyFont="1" applyFill="1" applyBorder="1" applyAlignment="1">
      <alignment horizontal="center" vertical="center"/>
    </xf>
    <xf numFmtId="2" fontId="11" fillId="0" borderId="4" xfId="1" applyNumberFormat="1" applyFont="1" applyBorder="1" applyAlignment="1">
      <alignment horizontal="center" vertical="center"/>
    </xf>
    <xf numFmtId="177" fontId="11" fillId="2" borderId="4" xfId="1" applyNumberFormat="1" applyFont="1" applyFill="1" applyBorder="1" applyAlignment="1">
      <alignment horizontal="center" vertical="center"/>
    </xf>
    <xf numFmtId="4" fontId="11" fillId="0" borderId="4" xfId="1" applyNumberFormat="1" applyFont="1" applyBorder="1" applyAlignment="1">
      <alignment horizontal="center" vertical="center"/>
    </xf>
    <xf numFmtId="4" fontId="11" fillId="2" borderId="4" xfId="1" applyNumberFormat="1" applyFont="1" applyFill="1" applyBorder="1" applyAlignment="1">
      <alignment horizontal="center" vertical="center"/>
    </xf>
    <xf numFmtId="178" fontId="20" fillId="0" borderId="4" xfId="0" applyNumberFormat="1" applyFont="1" applyBorder="1" applyAlignment="1">
      <alignment horizontal="center" vertical="center"/>
    </xf>
    <xf numFmtId="0" fontId="19" fillId="2" borderId="0" xfId="0" applyFont="1" applyFill="1">
      <alignment vertical="center"/>
    </xf>
    <xf numFmtId="2" fontId="11" fillId="3" borderId="4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16" fillId="2" borderId="10" xfId="1" applyFont="1" applyFill="1" applyBorder="1" applyAlignment="1">
      <alignment horizontal="center"/>
    </xf>
    <xf numFmtId="0" fontId="16" fillId="2" borderId="11" xfId="1" applyFont="1" applyFill="1" applyBorder="1" applyAlignment="1">
      <alignment horizontal="center"/>
    </xf>
    <xf numFmtId="0" fontId="16" fillId="2" borderId="12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/>
    </xf>
    <xf numFmtId="0" fontId="16" fillId="0" borderId="10" xfId="1" applyFont="1" applyBorder="1" applyAlignment="1">
      <alignment horizontal="center"/>
    </xf>
    <xf numFmtId="0" fontId="16" fillId="0" borderId="11" xfId="1" applyFont="1" applyBorder="1" applyAlignment="1">
      <alignment horizontal="center"/>
    </xf>
    <xf numFmtId="0" fontId="16" fillId="0" borderId="12" xfId="1" applyFont="1" applyBorder="1" applyAlignment="1">
      <alignment horizont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6" xfId="1" applyFont="1" applyBorder="1" applyAlignment="1">
      <alignment horizontal="center"/>
    </xf>
  </cellXfs>
  <cellStyles count="4">
    <cellStyle name="常规" xfId="0" builtinId="0"/>
    <cellStyle name="常规 2" xfId="3" xr:uid="{F47F5677-C31B-498B-9079-D211A60545DC}"/>
    <cellStyle name="常规 5" xfId="1" xr:uid="{A48634EF-4AE2-44FD-A061-21C255AF3DE4}"/>
    <cellStyle name="千位分隔 2" xfId="2" xr:uid="{9D6E4F89-5C2B-4DAE-B083-EE99006FBAF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147638</xdr:colOff>
          <xdr:row>2</xdr:row>
          <xdr:rowOff>114300</xdr:rowOff>
        </xdr:from>
        <xdr:to>
          <xdr:col>29</xdr:col>
          <xdr:colOff>552450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生成工资条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147638</xdr:colOff>
          <xdr:row>3</xdr:row>
          <xdr:rowOff>252413</xdr:rowOff>
        </xdr:from>
        <xdr:to>
          <xdr:col>29</xdr:col>
          <xdr:colOff>552450</xdr:colOff>
          <xdr:row>4</xdr:row>
          <xdr:rowOff>80963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恢复工资条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176213</xdr:colOff>
          <xdr:row>4</xdr:row>
          <xdr:rowOff>171450</xdr:rowOff>
        </xdr:from>
        <xdr:to>
          <xdr:col>30</xdr:col>
          <xdr:colOff>552450</xdr:colOff>
          <xdr:row>10</xdr:row>
          <xdr:rowOff>47625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注意事项</a:t>
              </a:r>
            </a:p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1-4行为表头， 可以修改列数，不要修改行数，即保证表头占据第1到第4行。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147638</xdr:colOff>
          <xdr:row>2</xdr:row>
          <xdr:rowOff>114300</xdr:rowOff>
        </xdr:from>
        <xdr:to>
          <xdr:col>29</xdr:col>
          <xdr:colOff>552450</xdr:colOff>
          <xdr:row>3</xdr:row>
          <xdr:rowOff>247650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生成工资条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147638</xdr:colOff>
          <xdr:row>3</xdr:row>
          <xdr:rowOff>314325</xdr:rowOff>
        </xdr:from>
        <xdr:to>
          <xdr:col>29</xdr:col>
          <xdr:colOff>552450</xdr:colOff>
          <xdr:row>5</xdr:row>
          <xdr:rowOff>76200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恢复工资条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176213</xdr:colOff>
          <xdr:row>5</xdr:row>
          <xdr:rowOff>195263</xdr:rowOff>
        </xdr:from>
        <xdr:to>
          <xdr:col>30</xdr:col>
          <xdr:colOff>552450</xdr:colOff>
          <xdr:row>17</xdr:row>
          <xdr:rowOff>157163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注意事项</a:t>
              </a:r>
            </a:p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1-4行为表头， 可以修改列数，不要修改行数，即保证表头占据第1到第4行。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6AF14-BA6D-45F2-ADBA-4A578D5FAAAF}">
  <sheetPr codeName="Sheet2"/>
  <dimension ref="A1:AB7"/>
  <sheetViews>
    <sheetView zoomScale="70" zoomScaleNormal="70" workbookViewId="0">
      <selection activeCell="T21" sqref="T21"/>
    </sheetView>
  </sheetViews>
  <sheetFormatPr defaultRowHeight="13.9" x14ac:dyDescent="0.4"/>
  <sheetData>
    <row r="1" spans="1:28" x14ac:dyDescent="0.4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7"/>
    </row>
    <row r="2" spans="1:28" s="25" customFormat="1" ht="16.149999999999999" x14ac:dyDescent="0.45">
      <c r="A2" s="51" t="s">
        <v>39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3"/>
    </row>
    <row r="3" spans="1:28" s="27" customFormat="1" ht="18.75" customHeight="1" x14ac:dyDescent="0.35">
      <c r="A3" s="48" t="s">
        <v>0</v>
      </c>
      <c r="B3" s="49"/>
      <c r="C3" s="49"/>
      <c r="D3" s="50"/>
      <c r="E3" s="48" t="s">
        <v>1</v>
      </c>
      <c r="F3" s="49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5"/>
      <c r="T3" s="26"/>
      <c r="U3" s="49" t="s">
        <v>2</v>
      </c>
      <c r="V3" s="49"/>
      <c r="W3" s="49"/>
      <c r="X3" s="49"/>
      <c r="Y3" s="49"/>
      <c r="Z3" s="49"/>
      <c r="AA3" s="55"/>
      <c r="AB3" s="56" t="s">
        <v>3</v>
      </c>
    </row>
    <row r="4" spans="1:28" s="27" customFormat="1" ht="38.1" customHeight="1" x14ac:dyDescent="0.4">
      <c r="A4" s="28" t="s">
        <v>4</v>
      </c>
      <c r="B4" s="28" t="s">
        <v>5</v>
      </c>
      <c r="C4" s="28" t="s">
        <v>6</v>
      </c>
      <c r="D4" s="28" t="s">
        <v>7</v>
      </c>
      <c r="E4" s="28" t="s">
        <v>8</v>
      </c>
      <c r="F4" s="29" t="s">
        <v>9</v>
      </c>
      <c r="G4" s="30" t="s">
        <v>10</v>
      </c>
      <c r="H4" s="30" t="s">
        <v>11</v>
      </c>
      <c r="I4" s="28" t="s">
        <v>12</v>
      </c>
      <c r="J4" s="30" t="s">
        <v>13</v>
      </c>
      <c r="K4" s="30" t="s">
        <v>14</v>
      </c>
      <c r="L4" s="30" t="s">
        <v>32</v>
      </c>
      <c r="M4" s="30" t="s">
        <v>16</v>
      </c>
      <c r="N4" s="28" t="s">
        <v>33</v>
      </c>
      <c r="O4" s="28" t="s">
        <v>34</v>
      </c>
      <c r="P4" s="28" t="s">
        <v>35</v>
      </c>
      <c r="Q4" s="28" t="s">
        <v>19</v>
      </c>
      <c r="R4" s="28" t="s">
        <v>36</v>
      </c>
      <c r="S4" s="31" t="s">
        <v>21</v>
      </c>
      <c r="T4" s="28" t="s">
        <v>22</v>
      </c>
      <c r="U4" s="28" t="s">
        <v>23</v>
      </c>
      <c r="V4" s="28" t="s">
        <v>24</v>
      </c>
      <c r="W4" s="28" t="s">
        <v>25</v>
      </c>
      <c r="X4" s="28" t="s">
        <v>26</v>
      </c>
      <c r="Y4" s="28" t="s">
        <v>27</v>
      </c>
      <c r="Z4" s="32" t="s">
        <v>28</v>
      </c>
      <c r="AA4" s="33" t="s">
        <v>29</v>
      </c>
      <c r="AB4" s="57"/>
    </row>
    <row r="5" spans="1:28" s="43" customFormat="1" ht="50.1" customHeight="1" x14ac:dyDescent="0.4">
      <c r="A5" s="34"/>
      <c r="B5" s="35">
        <v>9045</v>
      </c>
      <c r="C5" s="36" t="s">
        <v>37</v>
      </c>
      <c r="D5" s="22">
        <v>44195</v>
      </c>
      <c r="E5" s="23">
        <v>2200</v>
      </c>
      <c r="F5" s="23">
        <v>0</v>
      </c>
      <c r="G5" s="37">
        <v>23</v>
      </c>
      <c r="H5" s="38">
        <v>23</v>
      </c>
      <c r="I5" s="37"/>
      <c r="J5" s="39">
        <v>40.5</v>
      </c>
      <c r="K5" s="38">
        <f>ROUND(E5/G5/8*J5*1.5,2)</f>
        <v>726.36</v>
      </c>
      <c r="L5" s="39">
        <v>8</v>
      </c>
      <c r="M5" s="38">
        <f>ROUND(E5/G5/8*L5*2,2)</f>
        <v>191.3</v>
      </c>
      <c r="N5" s="38">
        <f>ROUND(1200/G5*H5-K5-M5,2)</f>
        <v>282.33999999999997</v>
      </c>
      <c r="O5" s="38">
        <f>ROUND(300/G5*H5,2)</f>
        <v>300</v>
      </c>
      <c r="P5" s="38">
        <f>200+100+100+500</f>
        <v>900</v>
      </c>
      <c r="Q5" s="38">
        <f>ROUND(2200/G5*(G5-H5),2)</f>
        <v>0</v>
      </c>
      <c r="R5" s="37">
        <v>0</v>
      </c>
      <c r="S5" s="40">
        <v>4600</v>
      </c>
      <c r="T5" s="37">
        <v>5000</v>
      </c>
      <c r="U5" s="37">
        <v>0</v>
      </c>
      <c r="V5" s="37">
        <v>0</v>
      </c>
      <c r="W5" s="37">
        <v>0</v>
      </c>
      <c r="X5" s="40">
        <v>205.84</v>
      </c>
      <c r="Y5" s="41">
        <v>110</v>
      </c>
      <c r="Z5" s="42">
        <v>0</v>
      </c>
      <c r="AA5" s="40">
        <f>U5+V5+W5+X5+Y5+Z5</f>
        <v>315.84000000000003</v>
      </c>
      <c r="AB5" s="40">
        <f>S5-AA5</f>
        <v>4284.16</v>
      </c>
    </row>
    <row r="6" spans="1:28" s="43" customFormat="1" ht="50.1" customHeight="1" x14ac:dyDescent="0.4">
      <c r="A6" s="34" t="s">
        <v>30</v>
      </c>
      <c r="B6" s="35">
        <v>9052</v>
      </c>
      <c r="C6" s="36" t="s">
        <v>38</v>
      </c>
      <c r="D6" s="22">
        <v>44461</v>
      </c>
      <c r="E6" s="23">
        <v>2200</v>
      </c>
      <c r="F6" s="23">
        <v>0</v>
      </c>
      <c r="G6" s="37">
        <v>23</v>
      </c>
      <c r="H6" s="44">
        <v>8</v>
      </c>
      <c r="I6" s="37"/>
      <c r="J6" s="39">
        <v>16.5</v>
      </c>
      <c r="K6" s="38">
        <f>ROUND(E6/G6/8*J6*1.5,2)</f>
        <v>295.92</v>
      </c>
      <c r="L6" s="39">
        <v>0</v>
      </c>
      <c r="M6" s="38">
        <f>ROUND(E6/G6/8*L6*2,2)</f>
        <v>0</v>
      </c>
      <c r="N6" s="38">
        <f>ROUND(1200/G6*H6-K6-M6,2)</f>
        <v>121.47</v>
      </c>
      <c r="O6" s="38">
        <f t="shared" ref="O6:O7" si="0">ROUND(300/G6*H6,2)</f>
        <v>104.35</v>
      </c>
      <c r="P6" s="38">
        <f>0+0+34.78</f>
        <v>34.78</v>
      </c>
      <c r="Q6" s="38">
        <f t="shared" ref="Q6:Q7" si="1">ROUND(2200/G6*(G6-H6),2)</f>
        <v>1434.78</v>
      </c>
      <c r="R6" s="37">
        <v>0</v>
      </c>
      <c r="S6" s="40">
        <v>1321.74</v>
      </c>
      <c r="T6" s="37">
        <v>5000</v>
      </c>
      <c r="U6" s="37">
        <v>0</v>
      </c>
      <c r="V6" s="37">
        <v>0</v>
      </c>
      <c r="W6" s="37">
        <v>0</v>
      </c>
      <c r="X6" s="40">
        <v>0</v>
      </c>
      <c r="Y6" s="41">
        <v>0</v>
      </c>
      <c r="Z6" s="42">
        <v>0</v>
      </c>
      <c r="AA6" s="40">
        <f t="shared" ref="AA6:AA7" si="2">U6+V6+W6+X6+Y6+Z6</f>
        <v>0</v>
      </c>
      <c r="AB6" s="40">
        <f t="shared" ref="AB6:AB7" si="3">S6-AA6</f>
        <v>1321.74</v>
      </c>
    </row>
    <row r="7" spans="1:28" s="43" customFormat="1" ht="50.1" customHeight="1" x14ac:dyDescent="0.4">
      <c r="A7" s="34"/>
      <c r="B7" s="35">
        <v>9045</v>
      </c>
      <c r="C7" s="36" t="s">
        <v>37</v>
      </c>
      <c r="D7" s="22">
        <v>44195</v>
      </c>
      <c r="E7" s="23">
        <v>2200</v>
      </c>
      <c r="F7" s="23">
        <v>0</v>
      </c>
      <c r="G7" s="37">
        <v>23</v>
      </c>
      <c r="H7" s="38">
        <v>23</v>
      </c>
      <c r="I7" s="37"/>
      <c r="J7" s="39">
        <v>40.5</v>
      </c>
      <c r="K7" s="38">
        <f t="shared" ref="K7" si="4">ROUND(E7/G7/8*J7*1.5,2)</f>
        <v>726.36</v>
      </c>
      <c r="L7" s="39">
        <v>8</v>
      </c>
      <c r="M7" s="38">
        <f t="shared" ref="M7" si="5">ROUND(E7/G7/8*L7*2,2)</f>
        <v>191.3</v>
      </c>
      <c r="N7" s="38">
        <f t="shared" ref="N7" si="6">ROUND(1200/G7*H7-K7-M7,2)</f>
        <v>282.33999999999997</v>
      </c>
      <c r="O7" s="38">
        <f t="shared" si="0"/>
        <v>300</v>
      </c>
      <c r="P7" s="38">
        <f t="shared" ref="P7" si="7">200+100+100+500</f>
        <v>900</v>
      </c>
      <c r="Q7" s="38">
        <f t="shared" si="1"/>
        <v>0</v>
      </c>
      <c r="R7" s="37">
        <v>0</v>
      </c>
      <c r="S7" s="40">
        <v>4600</v>
      </c>
      <c r="T7" s="37">
        <v>5000</v>
      </c>
      <c r="U7" s="37">
        <v>0</v>
      </c>
      <c r="V7" s="37">
        <v>0</v>
      </c>
      <c r="W7" s="37">
        <v>0</v>
      </c>
      <c r="X7" s="40">
        <v>205.84</v>
      </c>
      <c r="Y7" s="41">
        <v>110</v>
      </c>
      <c r="Z7" s="42">
        <v>0</v>
      </c>
      <c r="AA7" s="40">
        <f t="shared" si="2"/>
        <v>315.84000000000003</v>
      </c>
      <c r="AB7" s="40">
        <f t="shared" si="3"/>
        <v>4284.16</v>
      </c>
    </row>
  </sheetData>
  <mergeCells count="6">
    <mergeCell ref="A1:AB1"/>
    <mergeCell ref="A3:D3"/>
    <mergeCell ref="A2:AB2"/>
    <mergeCell ref="E3:S3"/>
    <mergeCell ref="U3:AA3"/>
    <mergeCell ref="AB3:AB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_header">
                <anchor>
                  <from>
                    <xdr:col>28</xdr:col>
                    <xdr:colOff>147638</xdr:colOff>
                    <xdr:row>2</xdr:row>
                    <xdr:rowOff>114300</xdr:rowOff>
                  </from>
                  <to>
                    <xdr:col>29</xdr:col>
                    <xdr:colOff>552450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del_header">
                <anchor>
                  <from>
                    <xdr:col>28</xdr:col>
                    <xdr:colOff>147638</xdr:colOff>
                    <xdr:row>3</xdr:row>
                    <xdr:rowOff>252413</xdr:rowOff>
                  </from>
                  <to>
                    <xdr:col>29</xdr:col>
                    <xdr:colOff>552450</xdr:colOff>
                    <xdr:row>4</xdr:row>
                    <xdr:rowOff>80963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6" name="Button 85">
              <controlPr defaultSize="0" print="0" autoFill="0" autoPict="0">
                <anchor>
                  <from>
                    <xdr:col>28</xdr:col>
                    <xdr:colOff>176213</xdr:colOff>
                    <xdr:row>4</xdr:row>
                    <xdr:rowOff>171450</xdr:rowOff>
                  </from>
                  <to>
                    <xdr:col>30</xdr:col>
                    <xdr:colOff>552450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592B9-539E-42A4-A0E0-33BDBF0FE0CD}">
  <sheetPr codeName="Sheet1"/>
  <dimension ref="A1:AA10"/>
  <sheetViews>
    <sheetView tabSelected="1" zoomScale="70" zoomScaleNormal="70" workbookViewId="0">
      <selection activeCell="A11" sqref="A11:XFD13"/>
    </sheetView>
  </sheetViews>
  <sheetFormatPr defaultRowHeight="13.9" x14ac:dyDescent="0.4"/>
  <sheetData>
    <row r="1" spans="1:27" x14ac:dyDescent="0.4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7"/>
    </row>
    <row r="2" spans="1:27" ht="16.149999999999999" x14ac:dyDescent="0.45">
      <c r="A2" s="58" t="s">
        <v>31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60"/>
    </row>
    <row r="3" spans="1:27" x14ac:dyDescent="0.35">
      <c r="A3" s="61" t="s">
        <v>0</v>
      </c>
      <c r="B3" s="62"/>
      <c r="C3" s="62"/>
      <c r="D3" s="63"/>
      <c r="E3" s="61" t="s">
        <v>1</v>
      </c>
      <c r="F3" s="62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5"/>
      <c r="S3" s="1"/>
      <c r="T3" s="62" t="s">
        <v>2</v>
      </c>
      <c r="U3" s="62"/>
      <c r="V3" s="62"/>
      <c r="W3" s="62"/>
      <c r="X3" s="62"/>
      <c r="Y3" s="62"/>
      <c r="Z3" s="65"/>
      <c r="AA3" s="66" t="s">
        <v>3</v>
      </c>
    </row>
    <row r="4" spans="1:27" ht="25.5" x14ac:dyDescent="0.4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  <c r="F4" s="3" t="s">
        <v>9</v>
      </c>
      <c r="G4" s="4" t="s">
        <v>10</v>
      </c>
      <c r="H4" s="4" t="s">
        <v>11</v>
      </c>
      <c r="I4" s="2" t="s">
        <v>12</v>
      </c>
      <c r="J4" s="4" t="s">
        <v>13</v>
      </c>
      <c r="K4" s="4" t="s">
        <v>14</v>
      </c>
      <c r="L4" s="4" t="s">
        <v>15</v>
      </c>
      <c r="M4" s="4" t="s">
        <v>16</v>
      </c>
      <c r="N4" s="2" t="s">
        <v>17</v>
      </c>
      <c r="O4" s="2" t="s">
        <v>18</v>
      </c>
      <c r="P4" s="2" t="s">
        <v>19</v>
      </c>
      <c r="Q4" s="2" t="s">
        <v>20</v>
      </c>
      <c r="R4" s="24" t="s">
        <v>21</v>
      </c>
      <c r="S4" s="2" t="s">
        <v>22</v>
      </c>
      <c r="T4" s="2" t="s">
        <v>23</v>
      </c>
      <c r="U4" s="2" t="s">
        <v>24</v>
      </c>
      <c r="V4" s="2" t="s">
        <v>25</v>
      </c>
      <c r="W4" s="2" t="s">
        <v>26</v>
      </c>
      <c r="X4" s="2" t="s">
        <v>27</v>
      </c>
      <c r="Y4" s="5" t="s">
        <v>28</v>
      </c>
      <c r="Z4" s="6" t="s">
        <v>29</v>
      </c>
      <c r="AA4" s="67"/>
    </row>
    <row r="5" spans="1:27" ht="17.649999999999999" x14ac:dyDescent="0.4">
      <c r="A5" s="7" t="s">
        <v>30</v>
      </c>
      <c r="B5" s="7">
        <v>9001</v>
      </c>
      <c r="C5" s="8" t="s">
        <v>40</v>
      </c>
      <c r="D5" s="9">
        <v>43207</v>
      </c>
      <c r="E5" s="10">
        <v>2500</v>
      </c>
      <c r="F5" s="11">
        <v>0</v>
      </c>
      <c r="G5" s="12">
        <v>23</v>
      </c>
      <c r="H5" s="12">
        <f>20.5+1.5+1</f>
        <v>23</v>
      </c>
      <c r="I5" s="13"/>
      <c r="J5" s="12">
        <v>0</v>
      </c>
      <c r="K5" s="13">
        <v>0</v>
      </c>
      <c r="L5" s="12">
        <v>0</v>
      </c>
      <c r="M5" s="13">
        <v>0</v>
      </c>
      <c r="N5" s="14">
        <v>0</v>
      </c>
      <c r="O5" s="15">
        <v>9</v>
      </c>
      <c r="P5" s="13">
        <f t="shared" ref="P5:P7" si="0">ROUND((E5+F5)/G5*(G5-H5),2)</f>
        <v>0</v>
      </c>
      <c r="Q5" s="13">
        <v>0</v>
      </c>
      <c r="R5" s="16">
        <f t="shared" ref="R5:R7" si="1">E5+F5+K5+M5+N5+O5-P5-Q5</f>
        <v>2509</v>
      </c>
      <c r="S5" s="13">
        <v>5000</v>
      </c>
      <c r="T5" s="13">
        <v>0</v>
      </c>
      <c r="U5" s="13">
        <v>0</v>
      </c>
      <c r="V5" s="13">
        <v>0</v>
      </c>
      <c r="W5" s="16">
        <v>205.84</v>
      </c>
      <c r="X5" s="16">
        <v>110</v>
      </c>
      <c r="Y5" s="17">
        <v>0</v>
      </c>
      <c r="Z5" s="16">
        <f>V5+W5+X5+Y5</f>
        <v>315.84000000000003</v>
      </c>
      <c r="AA5" s="16">
        <f>R5-Z5</f>
        <v>2193.16</v>
      </c>
    </row>
    <row r="6" spans="1:27" ht="17.649999999999999" x14ac:dyDescent="0.4">
      <c r="A6" s="7" t="s">
        <v>30</v>
      </c>
      <c r="B6" s="18">
        <v>4012</v>
      </c>
      <c r="C6" s="19" t="s">
        <v>41</v>
      </c>
      <c r="D6" s="20">
        <v>43405</v>
      </c>
      <c r="E6" s="10">
        <v>2500</v>
      </c>
      <c r="F6" s="10">
        <v>0</v>
      </c>
      <c r="G6" s="12">
        <v>23</v>
      </c>
      <c r="H6" s="12">
        <f>20+3</f>
        <v>23</v>
      </c>
      <c r="I6" s="13"/>
      <c r="J6" s="12">
        <v>0</v>
      </c>
      <c r="K6" s="13">
        <v>0</v>
      </c>
      <c r="L6" s="12">
        <v>0</v>
      </c>
      <c r="M6" s="13">
        <v>0</v>
      </c>
      <c r="N6" s="14">
        <v>0</v>
      </c>
      <c r="O6" s="13">
        <v>9</v>
      </c>
      <c r="P6" s="13">
        <f t="shared" si="0"/>
        <v>0</v>
      </c>
      <c r="Q6" s="13">
        <v>0</v>
      </c>
      <c r="R6" s="16">
        <f t="shared" si="1"/>
        <v>2509</v>
      </c>
      <c r="S6" s="13">
        <v>5000</v>
      </c>
      <c r="T6" s="13">
        <v>0</v>
      </c>
      <c r="U6" s="13">
        <v>0</v>
      </c>
      <c r="V6" s="13">
        <v>0</v>
      </c>
      <c r="W6" s="16">
        <v>205.84</v>
      </c>
      <c r="X6" s="16">
        <v>110</v>
      </c>
      <c r="Y6" s="17">
        <v>0</v>
      </c>
      <c r="Z6" s="16">
        <f t="shared" ref="Z6:Z7" si="2">V6+W6+X6+Y6</f>
        <v>315.84000000000003</v>
      </c>
      <c r="AA6" s="16">
        <f t="shared" ref="AA6:AA7" si="3">R6-Z6</f>
        <v>2193.16</v>
      </c>
    </row>
    <row r="7" spans="1:27" ht="17.649999999999999" x14ac:dyDescent="0.4">
      <c r="A7" s="7" t="s">
        <v>30</v>
      </c>
      <c r="B7" s="21">
        <v>9040</v>
      </c>
      <c r="C7" s="19" t="s">
        <v>42</v>
      </c>
      <c r="D7" s="22">
        <v>44060</v>
      </c>
      <c r="E7" s="23">
        <v>2500</v>
      </c>
      <c r="F7" s="10">
        <v>0</v>
      </c>
      <c r="G7" s="12">
        <v>23</v>
      </c>
      <c r="H7" s="12">
        <v>23</v>
      </c>
      <c r="I7" s="13"/>
      <c r="J7" s="12">
        <v>0</v>
      </c>
      <c r="K7" s="13">
        <v>0</v>
      </c>
      <c r="L7" s="12">
        <v>0</v>
      </c>
      <c r="M7" s="13">
        <v>0</v>
      </c>
      <c r="N7" s="14">
        <v>0</v>
      </c>
      <c r="O7" s="13">
        <v>9</v>
      </c>
      <c r="P7" s="13">
        <f t="shared" si="0"/>
        <v>0</v>
      </c>
      <c r="Q7" s="13">
        <v>0</v>
      </c>
      <c r="R7" s="16">
        <f t="shared" si="1"/>
        <v>2509</v>
      </c>
      <c r="S7" s="13">
        <v>5000</v>
      </c>
      <c r="T7" s="13">
        <v>0</v>
      </c>
      <c r="U7" s="13">
        <v>0</v>
      </c>
      <c r="V7" s="13">
        <v>0</v>
      </c>
      <c r="W7" s="16">
        <v>205.84</v>
      </c>
      <c r="X7" s="16">
        <v>110</v>
      </c>
      <c r="Y7" s="17">
        <v>0</v>
      </c>
      <c r="Z7" s="16">
        <f t="shared" si="2"/>
        <v>315.84000000000003</v>
      </c>
      <c r="AA7" s="16">
        <f t="shared" si="3"/>
        <v>2193.16</v>
      </c>
    </row>
    <row r="8" spans="1:27" ht="17.649999999999999" x14ac:dyDescent="0.4">
      <c r="A8" s="7" t="s">
        <v>30</v>
      </c>
      <c r="B8" s="7">
        <v>9001</v>
      </c>
      <c r="C8" s="8" t="s">
        <v>43</v>
      </c>
      <c r="D8" s="9">
        <v>43207</v>
      </c>
      <c r="E8" s="10">
        <v>2500</v>
      </c>
      <c r="F8" s="11">
        <v>0</v>
      </c>
      <c r="G8" s="12">
        <v>23</v>
      </c>
      <c r="H8" s="12">
        <f>20.5+1.5+1</f>
        <v>23</v>
      </c>
      <c r="I8" s="13"/>
      <c r="J8" s="12">
        <v>0</v>
      </c>
      <c r="K8" s="13">
        <v>0</v>
      </c>
      <c r="L8" s="12">
        <v>0</v>
      </c>
      <c r="M8" s="13">
        <v>0</v>
      </c>
      <c r="N8" s="14">
        <v>0</v>
      </c>
      <c r="O8" s="15">
        <v>9</v>
      </c>
      <c r="P8" s="13">
        <f t="shared" ref="P8:P10" si="4">ROUND((E8+F8)/G8*(G8-H8),2)</f>
        <v>0</v>
      </c>
      <c r="Q8" s="13">
        <v>0</v>
      </c>
      <c r="R8" s="16">
        <f t="shared" ref="R8:R10" si="5">E8+F8+K8+M8+N8+O8-P8-Q8</f>
        <v>2509</v>
      </c>
      <c r="S8" s="13">
        <v>5000</v>
      </c>
      <c r="T8" s="13">
        <v>0</v>
      </c>
      <c r="U8" s="13">
        <v>0</v>
      </c>
      <c r="V8" s="13">
        <v>0</v>
      </c>
      <c r="W8" s="16">
        <v>205.84</v>
      </c>
      <c r="X8" s="16">
        <v>110</v>
      </c>
      <c r="Y8" s="17">
        <v>0</v>
      </c>
      <c r="Z8" s="16">
        <f>V8+W8+X8+Y8</f>
        <v>315.84000000000003</v>
      </c>
      <c r="AA8" s="16">
        <f>R8-Z8</f>
        <v>2193.16</v>
      </c>
    </row>
    <row r="9" spans="1:27" ht="17.649999999999999" x14ac:dyDescent="0.4">
      <c r="A9" s="7" t="s">
        <v>30</v>
      </c>
      <c r="B9" s="18">
        <v>4012</v>
      </c>
      <c r="C9" s="19" t="s">
        <v>44</v>
      </c>
      <c r="D9" s="20">
        <v>43405</v>
      </c>
      <c r="E9" s="10">
        <v>2500</v>
      </c>
      <c r="F9" s="10">
        <v>0</v>
      </c>
      <c r="G9" s="12">
        <v>23</v>
      </c>
      <c r="H9" s="12">
        <f>20+3</f>
        <v>23</v>
      </c>
      <c r="I9" s="13"/>
      <c r="J9" s="12">
        <v>0</v>
      </c>
      <c r="K9" s="13">
        <v>0</v>
      </c>
      <c r="L9" s="12">
        <v>0</v>
      </c>
      <c r="M9" s="13">
        <v>0</v>
      </c>
      <c r="N9" s="14">
        <v>0</v>
      </c>
      <c r="O9" s="13">
        <v>9</v>
      </c>
      <c r="P9" s="13">
        <f t="shared" si="4"/>
        <v>0</v>
      </c>
      <c r="Q9" s="13">
        <v>0</v>
      </c>
      <c r="R9" s="16">
        <f t="shared" si="5"/>
        <v>2509</v>
      </c>
      <c r="S9" s="13">
        <v>5000</v>
      </c>
      <c r="T9" s="13">
        <v>0</v>
      </c>
      <c r="U9" s="13">
        <v>0</v>
      </c>
      <c r="V9" s="13">
        <v>0</v>
      </c>
      <c r="W9" s="16">
        <v>205.84</v>
      </c>
      <c r="X9" s="16">
        <v>110</v>
      </c>
      <c r="Y9" s="17">
        <v>0</v>
      </c>
      <c r="Z9" s="16">
        <f t="shared" ref="Z9:Z10" si="6">V9+W9+X9+Y9</f>
        <v>315.84000000000003</v>
      </c>
      <c r="AA9" s="16">
        <f t="shared" ref="AA9:AA10" si="7">R9-Z9</f>
        <v>2193.16</v>
      </c>
    </row>
    <row r="10" spans="1:27" ht="17.649999999999999" x14ac:dyDescent="0.4">
      <c r="A10" s="7" t="s">
        <v>30</v>
      </c>
      <c r="B10" s="21">
        <v>9040</v>
      </c>
      <c r="C10" s="19" t="s">
        <v>45</v>
      </c>
      <c r="D10" s="22">
        <v>44060</v>
      </c>
      <c r="E10" s="23">
        <v>2500</v>
      </c>
      <c r="F10" s="10">
        <v>0</v>
      </c>
      <c r="G10" s="12">
        <v>23</v>
      </c>
      <c r="H10" s="12">
        <v>23</v>
      </c>
      <c r="I10" s="13"/>
      <c r="J10" s="12">
        <v>0</v>
      </c>
      <c r="K10" s="13">
        <v>0</v>
      </c>
      <c r="L10" s="12">
        <v>0</v>
      </c>
      <c r="M10" s="13">
        <v>0</v>
      </c>
      <c r="N10" s="14">
        <v>0</v>
      </c>
      <c r="O10" s="13">
        <v>9</v>
      </c>
      <c r="P10" s="13">
        <f t="shared" si="4"/>
        <v>0</v>
      </c>
      <c r="Q10" s="13">
        <v>0</v>
      </c>
      <c r="R10" s="16">
        <f t="shared" si="5"/>
        <v>2509</v>
      </c>
      <c r="S10" s="13">
        <v>5000</v>
      </c>
      <c r="T10" s="13">
        <v>0</v>
      </c>
      <c r="U10" s="13">
        <v>0</v>
      </c>
      <c r="V10" s="13">
        <v>0</v>
      </c>
      <c r="W10" s="16">
        <v>205.84</v>
      </c>
      <c r="X10" s="16">
        <v>110</v>
      </c>
      <c r="Y10" s="17">
        <v>0</v>
      </c>
      <c r="Z10" s="16">
        <f t="shared" si="6"/>
        <v>315.84000000000003</v>
      </c>
      <c r="AA10" s="16">
        <f t="shared" si="7"/>
        <v>2193.16</v>
      </c>
    </row>
  </sheetData>
  <mergeCells count="6">
    <mergeCell ref="A1:AA1"/>
    <mergeCell ref="A2:AA2"/>
    <mergeCell ref="A3:D3"/>
    <mergeCell ref="E3:R3"/>
    <mergeCell ref="T3:Z3"/>
    <mergeCell ref="AA3:AA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ThisWorkbook.copy_header">
                <anchor>
                  <from>
                    <xdr:col>28</xdr:col>
                    <xdr:colOff>147638</xdr:colOff>
                    <xdr:row>2</xdr:row>
                    <xdr:rowOff>114300</xdr:rowOff>
                  </from>
                  <to>
                    <xdr:col>29</xdr:col>
                    <xdr:colOff>552450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" name="Button 64">
              <controlPr defaultSize="0" print="0" autoFill="0" autoPict="0" macro="[0]!ThisWorkbook.del_header">
                <anchor>
                  <from>
                    <xdr:col>28</xdr:col>
                    <xdr:colOff>147638</xdr:colOff>
                    <xdr:row>3</xdr:row>
                    <xdr:rowOff>314325</xdr:rowOff>
                  </from>
                  <to>
                    <xdr:col>29</xdr:col>
                    <xdr:colOff>552450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" name="Button 65">
              <controlPr defaultSize="0" print="0" autoFill="0" autoPict="0">
                <anchor>
                  <from>
                    <xdr:col>28</xdr:col>
                    <xdr:colOff>176213</xdr:colOff>
                    <xdr:row>5</xdr:row>
                    <xdr:rowOff>195263</xdr:rowOff>
                  </from>
                  <to>
                    <xdr:col>30</xdr:col>
                    <xdr:colOff>552450</xdr:colOff>
                    <xdr:row>17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普工</vt:lpstr>
      <vt:lpstr>月薪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xdong</dc:creator>
  <cp:lastModifiedBy>xdong</cp:lastModifiedBy>
  <cp:lastPrinted>2022-01-07T09:58:40Z</cp:lastPrinted>
  <dcterms:created xsi:type="dcterms:W3CDTF">2022-01-07T05:50:42Z</dcterms:created>
  <dcterms:modified xsi:type="dcterms:W3CDTF">2022-04-22T03:53:17Z</dcterms:modified>
</cp:coreProperties>
</file>